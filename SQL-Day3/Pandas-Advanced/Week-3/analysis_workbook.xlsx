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d77d3e8920f840f7/Documents/"/>
    </mc:Choice>
  </mc:AlternateContent>
  <xr:revisionPtr revIDLastSave="56" documentId="8_{0AB6240F-4250-462B-8D6B-F73DA3817260}" xr6:coauthVersionLast="47" xr6:coauthVersionMax="47" xr10:uidLastSave="{A7B628E0-1F87-4FAF-B3FB-C84A0AAFC72A}"/>
  <bookViews>
    <workbookView xWindow="-108" yWindow="-108" windowWidth="23256" windowHeight="12456" activeTab="1" xr2:uid="{70475B8C-5BB6-4B4E-8112-F2768EB30BA4}"/>
  </bookViews>
  <sheets>
    <sheet name="Sheet2" sheetId="2" r:id="rId1"/>
    <sheet name="sales_data" sheetId="5" r:id="rId2"/>
    <sheet name="product_data" sheetId="4" r:id="rId3"/>
    <sheet name="SalesData" sheetId="1" r:id="rId4"/>
    <sheet name="Sheet3" sheetId="3" r:id="rId5"/>
  </sheets>
  <definedNames>
    <definedName name="ExternalData_1" localSheetId="2" hidden="1">product_data!$A$1:$C$6</definedName>
    <definedName name="ExternalData_2" localSheetId="1" hidden="1">sales_data!$A$1:$E$16</definedName>
    <definedName name="Slicer_Region">#N/A</definedName>
  </definedNames>
  <calcPr calcId="191029"/>
  <pivotCaches>
    <pivotCache cacheId="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F2" i="1"/>
  <c r="F3" i="1"/>
  <c r="F4" i="1"/>
  <c r="F5" i="1"/>
  <c r="F6" i="1"/>
  <c r="F7" i="1"/>
  <c r="F8" i="1"/>
  <c r="F9" i="1"/>
  <c r="F10" i="1"/>
  <c r="F11" i="1"/>
  <c r="F12" i="1"/>
  <c r="F1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00A6C8-7596-45A9-8CB7-D1EF062695BE}" keepAlive="1" name="Query - product_data" description="Connection to the 'product_data' query in the workbook." type="5" refreshedVersion="8" background="1" saveData="1">
    <dbPr connection="Provider=Microsoft.Mashup.OleDb.1;Data Source=$Workbook$;Location=product_data;Extended Properties=&quot;&quot;" command="SELECT * FROM [product_data]"/>
  </connection>
  <connection id="2" xr16:uid="{481D8E1E-2D3D-4D6C-9C97-B45CB36018F0}"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<sst xmlns="http://schemas.openxmlformats.org/spreadsheetml/2006/main" count="135" uniqueCount="41">
  <si>
    <t>Region</t>
  </si>
  <si>
    <t>Product</t>
  </si>
  <si>
    <t>Quarter</t>
  </si>
  <si>
    <t xml:space="preserve">Revenue </t>
  </si>
  <si>
    <t>Cost</t>
  </si>
  <si>
    <t xml:space="preserve">South </t>
  </si>
  <si>
    <t>North</t>
  </si>
  <si>
    <t>West</t>
  </si>
  <si>
    <t>East</t>
  </si>
  <si>
    <t>Laptop</t>
  </si>
  <si>
    <t>Mobile</t>
  </si>
  <si>
    <t xml:space="preserve">Tablet </t>
  </si>
  <si>
    <t>Q1</t>
  </si>
  <si>
    <t>Q2</t>
  </si>
  <si>
    <t>Q3</t>
  </si>
  <si>
    <t>Q4</t>
  </si>
  <si>
    <t>Profit</t>
  </si>
  <si>
    <t>Margin %</t>
  </si>
  <si>
    <t>Row Labels</t>
  </si>
  <si>
    <t>Grand Total</t>
  </si>
  <si>
    <t>Column Labels</t>
  </si>
  <si>
    <t xml:space="preserve">Sum of Revenue </t>
  </si>
  <si>
    <t xml:space="preserve">Total Sum of Revenue </t>
  </si>
  <si>
    <t>Total Sum of Profit</t>
  </si>
  <si>
    <t>Sum of Profit</t>
  </si>
  <si>
    <t>Product_ID</t>
  </si>
  <si>
    <t>Category</t>
  </si>
  <si>
    <t>Units</t>
  </si>
  <si>
    <t>P001</t>
  </si>
  <si>
    <t>P002</t>
  </si>
  <si>
    <t>P003</t>
  </si>
  <si>
    <t>P004</t>
  </si>
  <si>
    <t>P005</t>
  </si>
  <si>
    <t>Electronics</t>
  </si>
  <si>
    <t>Accessories</t>
  </si>
  <si>
    <t>Office</t>
  </si>
  <si>
    <t>Date</t>
  </si>
  <si>
    <t>Sales</t>
  </si>
  <si>
    <t>South</t>
  </si>
  <si>
    <t>Furniture</t>
  </si>
  <si>
    <t>Clothing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</si>
</sst>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cellXfs>
  <cellStyles count="1">
    <cellStyle name="Normal" xfId="0" builtinId="0"/>
  </cellStyles>
  <dxfs count="7">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Sheet2!$B$3:$B$5</c:f>
              <c:strCache>
                <c:ptCount val="1"/>
                <c:pt idx="0">
                  <c:v>Q1 - Sum of Revenue </c:v>
                </c:pt>
              </c:strCache>
            </c:strRef>
          </c:tx>
          <c:spPr>
            <a:solidFill>
              <a:schemeClr val="accent1"/>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Sheet2!$B$6:$B$20</c:f>
              <c:numCache>
                <c:formatCode>General</c:formatCode>
                <c:ptCount val="10"/>
                <c:pt idx="0">
                  <c:v>85000</c:v>
                </c:pt>
                <c:pt idx="3">
                  <c:v>90000</c:v>
                </c:pt>
                <c:pt idx="4">
                  <c:v>60000</c:v>
                </c:pt>
                <c:pt idx="5">
                  <c:v>120000</c:v>
                </c:pt>
              </c:numCache>
            </c:numRef>
          </c:val>
          <c:extLst>
            <c:ext xmlns:c16="http://schemas.microsoft.com/office/drawing/2014/chart" uri="{C3380CC4-5D6E-409C-BE32-E72D297353CC}">
              <c16:uniqueId val="{00000000-0B9D-472D-B3EC-BFFA924EC949}"/>
            </c:ext>
          </c:extLst>
        </c:ser>
        <c:ser>
          <c:idx val="1"/>
          <c:order val="1"/>
          <c:tx>
            <c:strRef>
              <c:f>Sheet2!$C$3:$C$5</c:f>
              <c:strCache>
                <c:ptCount val="1"/>
                <c:pt idx="0">
                  <c:v>Q1 - Sum of Profit</c:v>
                </c:pt>
              </c:strCache>
            </c:strRef>
          </c:tx>
          <c:spPr>
            <a:solidFill>
              <a:schemeClr val="accent2"/>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Sheet2!$C$6:$C$20</c:f>
              <c:numCache>
                <c:formatCode>General</c:formatCode>
                <c:ptCount val="10"/>
                <c:pt idx="0">
                  <c:v>30000</c:v>
                </c:pt>
                <c:pt idx="3">
                  <c:v>30000</c:v>
                </c:pt>
                <c:pt idx="4">
                  <c:v>22000</c:v>
                </c:pt>
                <c:pt idx="5">
                  <c:v>35000</c:v>
                </c:pt>
              </c:numCache>
            </c:numRef>
          </c:val>
          <c:extLst>
            <c:ext xmlns:c16="http://schemas.microsoft.com/office/drawing/2014/chart" uri="{C3380CC4-5D6E-409C-BE32-E72D297353CC}">
              <c16:uniqueId val="{00000001-0B9D-472D-B3EC-BFFA924EC949}"/>
            </c:ext>
          </c:extLst>
        </c:ser>
        <c:ser>
          <c:idx val="2"/>
          <c:order val="2"/>
          <c:tx>
            <c:strRef>
              <c:f>Sheet2!$D$3:$D$5</c:f>
              <c:strCache>
                <c:ptCount val="1"/>
                <c:pt idx="0">
                  <c:v>Q2 - Sum of Revenue </c:v>
                </c:pt>
              </c:strCache>
            </c:strRef>
          </c:tx>
          <c:spPr>
            <a:solidFill>
              <a:schemeClr val="accent3"/>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Sheet2!$D$6:$D$20</c:f>
              <c:numCache>
                <c:formatCode>General</c:formatCode>
                <c:ptCount val="10"/>
                <c:pt idx="0">
                  <c:v>80000</c:v>
                </c:pt>
                <c:pt idx="8">
                  <c:v>150000</c:v>
                </c:pt>
              </c:numCache>
            </c:numRef>
          </c:val>
          <c:extLst>
            <c:ext xmlns:c16="http://schemas.microsoft.com/office/drawing/2014/chart" uri="{C3380CC4-5D6E-409C-BE32-E72D297353CC}">
              <c16:uniqueId val="{00000002-0B9D-472D-B3EC-BFFA924EC949}"/>
            </c:ext>
          </c:extLst>
        </c:ser>
        <c:ser>
          <c:idx val="3"/>
          <c:order val="3"/>
          <c:tx>
            <c:strRef>
              <c:f>Sheet2!$E$3:$E$5</c:f>
              <c:strCache>
                <c:ptCount val="1"/>
                <c:pt idx="0">
                  <c:v>Q2 - Sum of Profit</c:v>
                </c:pt>
              </c:strCache>
            </c:strRef>
          </c:tx>
          <c:spPr>
            <a:solidFill>
              <a:schemeClr val="accent4"/>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Sheet2!$E$6:$E$20</c:f>
              <c:numCache>
                <c:formatCode>General</c:formatCode>
                <c:ptCount val="10"/>
                <c:pt idx="0">
                  <c:v>28000</c:v>
                </c:pt>
                <c:pt idx="8">
                  <c:v>45000</c:v>
                </c:pt>
              </c:numCache>
            </c:numRef>
          </c:val>
          <c:extLst>
            <c:ext xmlns:c16="http://schemas.microsoft.com/office/drawing/2014/chart" uri="{C3380CC4-5D6E-409C-BE32-E72D297353CC}">
              <c16:uniqueId val="{00000003-0B9D-472D-B3EC-BFFA924EC949}"/>
            </c:ext>
          </c:extLst>
        </c:ser>
        <c:ser>
          <c:idx val="4"/>
          <c:order val="4"/>
          <c:tx>
            <c:strRef>
              <c:f>Sheet2!$F$3:$F$5</c:f>
              <c:strCache>
                <c:ptCount val="1"/>
                <c:pt idx="0">
                  <c:v>Q3 - Sum of Revenue </c:v>
                </c:pt>
              </c:strCache>
            </c:strRef>
          </c:tx>
          <c:spPr>
            <a:solidFill>
              <a:schemeClr val="accent5"/>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Sheet2!$F$6:$F$20</c:f>
              <c:numCache>
                <c:formatCode>General</c:formatCode>
                <c:ptCount val="10"/>
                <c:pt idx="2">
                  <c:v>180000</c:v>
                </c:pt>
                <c:pt idx="7">
                  <c:v>70000</c:v>
                </c:pt>
                <c:pt idx="8">
                  <c:v>140000</c:v>
                </c:pt>
              </c:numCache>
            </c:numRef>
          </c:val>
          <c:extLst>
            <c:ext xmlns:c16="http://schemas.microsoft.com/office/drawing/2014/chart" uri="{C3380CC4-5D6E-409C-BE32-E72D297353CC}">
              <c16:uniqueId val="{0000000D-0B9D-472D-B3EC-BFFA924EC949}"/>
            </c:ext>
          </c:extLst>
        </c:ser>
        <c:ser>
          <c:idx val="5"/>
          <c:order val="5"/>
          <c:tx>
            <c:strRef>
              <c:f>Sheet2!$G$3:$G$5</c:f>
              <c:strCache>
                <c:ptCount val="1"/>
                <c:pt idx="0">
                  <c:v>Q3 - Sum of Profit</c:v>
                </c:pt>
              </c:strCache>
            </c:strRef>
          </c:tx>
          <c:spPr>
            <a:solidFill>
              <a:schemeClr val="accent6"/>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Sheet2!$G$6:$G$20</c:f>
              <c:numCache>
                <c:formatCode>General</c:formatCode>
                <c:ptCount val="10"/>
                <c:pt idx="2">
                  <c:v>55000</c:v>
                </c:pt>
                <c:pt idx="7">
                  <c:v>25000</c:v>
                </c:pt>
                <c:pt idx="8">
                  <c:v>42000</c:v>
                </c:pt>
              </c:numCache>
            </c:numRef>
          </c:val>
          <c:extLst>
            <c:ext xmlns:c16="http://schemas.microsoft.com/office/drawing/2014/chart" uri="{C3380CC4-5D6E-409C-BE32-E72D297353CC}">
              <c16:uniqueId val="{0000000E-0B9D-472D-B3EC-BFFA924EC949}"/>
            </c:ext>
          </c:extLst>
        </c:ser>
        <c:ser>
          <c:idx val="6"/>
          <c:order val="6"/>
          <c:tx>
            <c:strRef>
              <c:f>Sheet2!$H$3:$H$5</c:f>
              <c:strCache>
                <c:ptCount val="1"/>
                <c:pt idx="0">
                  <c:v>Q4 - Sum of Revenue </c:v>
                </c:pt>
              </c:strCache>
            </c:strRef>
          </c:tx>
          <c:spPr>
            <a:solidFill>
              <a:schemeClr val="accent1">
                <a:lumMod val="60000"/>
              </a:schemeClr>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Sheet2!$H$6:$H$20</c:f>
              <c:numCache>
                <c:formatCode>General</c:formatCode>
                <c:ptCount val="10"/>
                <c:pt idx="1">
                  <c:v>65000</c:v>
                </c:pt>
                <c:pt idx="6">
                  <c:v>95000</c:v>
                </c:pt>
                <c:pt idx="9">
                  <c:v>110000</c:v>
                </c:pt>
              </c:numCache>
            </c:numRef>
          </c:val>
          <c:extLst>
            <c:ext xmlns:c16="http://schemas.microsoft.com/office/drawing/2014/chart" uri="{C3380CC4-5D6E-409C-BE32-E72D297353CC}">
              <c16:uniqueId val="{0000000F-0B9D-472D-B3EC-BFFA924EC949}"/>
            </c:ext>
          </c:extLst>
        </c:ser>
        <c:ser>
          <c:idx val="7"/>
          <c:order val="7"/>
          <c:tx>
            <c:strRef>
              <c:f>Sheet2!$I$3:$I$5</c:f>
              <c:strCache>
                <c:ptCount val="1"/>
                <c:pt idx="0">
                  <c:v>Q4 - Sum of Profit</c:v>
                </c:pt>
              </c:strCache>
            </c:strRef>
          </c:tx>
          <c:spPr>
            <a:solidFill>
              <a:schemeClr val="accent2">
                <a:lumMod val="60000"/>
              </a:schemeClr>
            </a:solidFill>
            <a:ln>
              <a:noFill/>
            </a:ln>
            <a:effectLst/>
          </c:spPr>
          <c:invertIfNegative val="0"/>
          <c:cat>
            <c:multiLvlStrRef>
              <c:f>Sheet2!$A$6:$A$20</c:f>
              <c:multiLvlStrCache>
                <c:ptCount val="10"/>
                <c:lvl>
                  <c:pt idx="0">
                    <c:v>Mobile</c:v>
                  </c:pt>
                  <c:pt idx="1">
                    <c:v>Tablet </c:v>
                  </c:pt>
                  <c:pt idx="2">
                    <c:v>Laptop</c:v>
                  </c:pt>
                  <c:pt idx="3">
                    <c:v>Mobile</c:v>
                  </c:pt>
                  <c:pt idx="4">
                    <c:v>Tablet </c:v>
                  </c:pt>
                  <c:pt idx="5">
                    <c:v>Laptop</c:v>
                  </c:pt>
                  <c:pt idx="6">
                    <c:v>Mobile</c:v>
                  </c:pt>
                  <c:pt idx="7">
                    <c:v>Tablet </c:v>
                  </c:pt>
                  <c:pt idx="8">
                    <c:v>Laptop</c:v>
                  </c:pt>
                  <c:pt idx="9">
                    <c:v>Mobile</c:v>
                  </c:pt>
                </c:lvl>
                <c:lvl>
                  <c:pt idx="0">
                    <c:v>East</c:v>
                  </c:pt>
                  <c:pt idx="2">
                    <c:v>North</c:v>
                  </c:pt>
                  <c:pt idx="5">
                    <c:v>South </c:v>
                  </c:pt>
                  <c:pt idx="8">
                    <c:v>West</c:v>
                  </c:pt>
                </c:lvl>
              </c:multiLvlStrCache>
            </c:multiLvlStrRef>
          </c:cat>
          <c:val>
            <c:numRef>
              <c:f>Sheet2!$I$6:$I$20</c:f>
              <c:numCache>
                <c:formatCode>General</c:formatCode>
                <c:ptCount val="10"/>
                <c:pt idx="1">
                  <c:v>25000</c:v>
                </c:pt>
                <c:pt idx="6">
                  <c:v>33000</c:v>
                </c:pt>
                <c:pt idx="9">
                  <c:v>38000</c:v>
                </c:pt>
              </c:numCache>
            </c:numRef>
          </c:val>
          <c:extLst>
            <c:ext xmlns:c16="http://schemas.microsoft.com/office/drawing/2014/chart" uri="{C3380CC4-5D6E-409C-BE32-E72D297353CC}">
              <c16:uniqueId val="{00000010-0B9D-472D-B3EC-BFFA924EC949}"/>
            </c:ext>
          </c:extLst>
        </c:ser>
        <c:dLbls>
          <c:showLegendKey val="0"/>
          <c:showVal val="0"/>
          <c:showCatName val="0"/>
          <c:showSerName val="0"/>
          <c:showPercent val="0"/>
          <c:showBubbleSize val="0"/>
        </c:dLbls>
        <c:gapWidth val="219"/>
        <c:overlap val="-27"/>
        <c:axId val="670417056"/>
        <c:axId val="670414656"/>
      </c:barChart>
      <c:catAx>
        <c:axId val="67041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14656"/>
        <c:crosses val="autoZero"/>
        <c:auto val="1"/>
        <c:lblAlgn val="ctr"/>
        <c:lblOffset val="100"/>
        <c:noMultiLvlLbl val="0"/>
      </c:catAx>
      <c:valAx>
        <c:axId val="670414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17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198120</xdr:colOff>
      <xdr:row>24</xdr:row>
      <xdr:rowOff>91440</xdr:rowOff>
    </xdr:from>
    <xdr:to>
      <xdr:col>8</xdr:col>
      <xdr:colOff>213360</xdr:colOff>
      <xdr:row>39</xdr:row>
      <xdr:rowOff>91440</xdr:rowOff>
    </xdr:to>
    <xdr:graphicFrame macro="">
      <xdr:nvGraphicFramePr>
        <xdr:cNvPr id="2" name="Chart 1">
          <a:extLst>
            <a:ext uri="{FF2B5EF4-FFF2-40B4-BE49-F238E27FC236}">
              <a16:creationId xmlns:a16="http://schemas.microsoft.com/office/drawing/2014/main" id="{40FB3DA3-FD61-4240-EDA2-64F85433F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868680</xdr:colOff>
      <xdr:row>21</xdr:row>
      <xdr:rowOff>91440</xdr:rowOff>
    </xdr:from>
    <xdr:to>
      <xdr:col>11</xdr:col>
      <xdr:colOff>289560</xdr:colOff>
      <xdr:row>35</xdr:row>
      <xdr:rowOff>112395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FE32B31-610C-7DFC-A2D0-51C47FF600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30640" y="3931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kumar M" refreshedDate="46316.515285995367" createdVersion="8" refreshedVersion="8" minRefreshableVersion="3" recordCount="12" xr:uid="{E937F09F-7478-4D80-83AF-E75801953FE3}">
  <cacheSource type="worksheet">
    <worksheetSource name="Table1"/>
  </cacheSource>
  <cacheFields count="7">
    <cacheField name="Region" numFmtId="0">
      <sharedItems count="4">
        <s v="South "/>
        <s v="North"/>
        <s v="West"/>
        <s v="East"/>
      </sharedItems>
    </cacheField>
    <cacheField name="Product" numFmtId="0">
      <sharedItems count="3">
        <s v="Laptop"/>
        <s v="Mobile"/>
        <s v="Tablet "/>
      </sharedItems>
    </cacheField>
    <cacheField name="Quarter" numFmtId="0">
      <sharedItems count="4">
        <s v="Q1"/>
        <s v="Q2"/>
        <s v="Q3"/>
        <s v="Q4"/>
      </sharedItems>
    </cacheField>
    <cacheField name="Revenue " numFmtId="0">
      <sharedItems containsSemiMixedTypes="0" containsString="0" containsNumber="1" containsInteger="1" minValue="60000" maxValue="180000"/>
    </cacheField>
    <cacheField name="Cost" numFmtId="0">
      <sharedItems containsSemiMixedTypes="0" containsString="0" containsNumber="1" containsInteger="1" minValue="38000" maxValue="125000"/>
    </cacheField>
    <cacheField name="Profit" numFmtId="0">
      <sharedItems containsSemiMixedTypes="0" containsString="0" containsNumber="1" containsInteger="1" minValue="22000" maxValue="55000"/>
    </cacheField>
    <cacheField name="Margin %" numFmtId="0">
      <sharedItems containsSemiMixedTypes="0" containsString="0" containsNumber="1" minValue="0.29166666666666669" maxValue="0.38461538461538464"/>
    </cacheField>
  </cacheFields>
  <extLst>
    <ext xmlns:x14="http://schemas.microsoft.com/office/spreadsheetml/2009/9/main" uri="{725AE2AE-9491-48be-B2B4-4EB974FC3084}">
      <x14:pivotCacheDefinition pivotCacheId="107252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120000"/>
    <n v="85000"/>
    <n v="35000"/>
    <n v="0.29166666666666669"/>
  </r>
  <r>
    <x v="1"/>
    <x v="1"/>
    <x v="0"/>
    <n v="90000"/>
    <n v="60000"/>
    <n v="30000"/>
    <n v="0.33333333333333331"/>
  </r>
  <r>
    <x v="2"/>
    <x v="0"/>
    <x v="1"/>
    <n v="150000"/>
    <n v="105000"/>
    <n v="45000"/>
    <n v="0.3"/>
  </r>
  <r>
    <x v="3"/>
    <x v="1"/>
    <x v="1"/>
    <n v="80000"/>
    <n v="52000"/>
    <n v="28000"/>
    <n v="0.35"/>
  </r>
  <r>
    <x v="0"/>
    <x v="2"/>
    <x v="2"/>
    <n v="70000"/>
    <n v="45000"/>
    <n v="25000"/>
    <n v="0.35714285714285715"/>
  </r>
  <r>
    <x v="1"/>
    <x v="0"/>
    <x v="2"/>
    <n v="180000"/>
    <n v="125000"/>
    <n v="55000"/>
    <n v="0.30555555555555558"/>
  </r>
  <r>
    <x v="2"/>
    <x v="1"/>
    <x v="3"/>
    <n v="110000"/>
    <n v="72000"/>
    <n v="38000"/>
    <n v="0.34545454545454546"/>
  </r>
  <r>
    <x v="3"/>
    <x v="2"/>
    <x v="3"/>
    <n v="65000"/>
    <n v="40000"/>
    <n v="25000"/>
    <n v="0.38461538461538464"/>
  </r>
  <r>
    <x v="0"/>
    <x v="1"/>
    <x v="3"/>
    <n v="95000"/>
    <n v="62000"/>
    <n v="33000"/>
    <n v="0.3473684210526316"/>
  </r>
  <r>
    <x v="1"/>
    <x v="2"/>
    <x v="0"/>
    <n v="60000"/>
    <n v="38000"/>
    <n v="22000"/>
    <n v="0.36666666666666664"/>
  </r>
  <r>
    <x v="2"/>
    <x v="0"/>
    <x v="2"/>
    <n v="140000"/>
    <n v="98000"/>
    <n v="42000"/>
    <n v="0.3"/>
  </r>
  <r>
    <x v="3"/>
    <x v="1"/>
    <x v="0"/>
    <n v="85000"/>
    <n v="55000"/>
    <n v="30000"/>
    <n v="0.352941176470588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F4AE62-1C5D-4E9E-BEFC-40EE67B857D5}"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K20" firstHeaderRow="1" firstDataRow="3" firstDataCol="1"/>
  <pivotFields count="7">
    <pivotField axis="axisRow" showAll="0">
      <items count="5">
        <item x="3"/>
        <item x="1"/>
        <item x="0"/>
        <item x="2"/>
        <item t="default"/>
      </items>
    </pivotField>
    <pivotField axis="axisRow" showAll="0">
      <items count="4">
        <item x="0"/>
        <item x="1"/>
        <item x="2"/>
        <item t="default"/>
      </items>
    </pivotField>
    <pivotField axis="axisCol" showAll="0">
      <items count="5">
        <item x="0"/>
        <item x="1"/>
        <item x="2"/>
        <item x="3"/>
        <item t="default"/>
      </items>
    </pivotField>
    <pivotField dataField="1" showAll="0"/>
    <pivotField showAll="0"/>
    <pivotField dataField="1" showAll="0"/>
    <pivotField showAll="0"/>
  </pivotFields>
  <rowFields count="2">
    <field x="0"/>
    <field x="1"/>
  </rowFields>
  <rowItems count="15">
    <i>
      <x/>
    </i>
    <i r="1">
      <x v="1"/>
    </i>
    <i r="1">
      <x v="2"/>
    </i>
    <i>
      <x v="1"/>
    </i>
    <i r="1">
      <x/>
    </i>
    <i r="1">
      <x v="1"/>
    </i>
    <i r="1">
      <x v="2"/>
    </i>
    <i>
      <x v="2"/>
    </i>
    <i r="1">
      <x/>
    </i>
    <i r="1">
      <x v="1"/>
    </i>
    <i r="1">
      <x v="2"/>
    </i>
    <i>
      <x v="3"/>
    </i>
    <i r="1">
      <x/>
    </i>
    <i r="1">
      <x v="1"/>
    </i>
    <i t="grand">
      <x/>
    </i>
  </rowItems>
  <colFields count="2">
    <field x="2"/>
    <field x="-2"/>
  </colFields>
  <colItems count="10">
    <i>
      <x/>
      <x/>
    </i>
    <i r="1" i="1">
      <x v="1"/>
    </i>
    <i>
      <x v="1"/>
      <x/>
    </i>
    <i r="1" i="1">
      <x v="1"/>
    </i>
    <i>
      <x v="2"/>
      <x/>
    </i>
    <i r="1" i="1">
      <x v="1"/>
    </i>
    <i>
      <x v="3"/>
      <x/>
    </i>
    <i r="1" i="1">
      <x v="1"/>
    </i>
    <i t="grand">
      <x/>
    </i>
    <i t="grand" i="1">
      <x/>
    </i>
  </colItems>
  <dataFields count="2">
    <dataField name="Sum of Revenue " fld="3" baseField="0" baseItem="0"/>
    <dataField name="Sum of Profit" fld="5"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1"/>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1"/>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 chart="0" format="5" series="1">
      <pivotArea type="data" outline="0" fieldPosition="0">
        <references count="2">
          <reference field="4294967294" count="1" selected="0">
            <x v="1"/>
          </reference>
          <reference field="2" count="1" selected="0">
            <x v="2"/>
          </reference>
        </references>
      </pivotArea>
    </chartFormat>
    <chartFormat chart="0" format="6" series="1">
      <pivotArea type="data" outline="0" fieldPosition="0">
        <references count="2">
          <reference field="4294967294" count="1" selected="0">
            <x v="0"/>
          </reference>
          <reference field="2" count="1" selected="0">
            <x v="3"/>
          </reference>
        </references>
      </pivotArea>
    </chartFormat>
    <chartFormat chart="0" format="7" series="1">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C29E04E6-63B6-4C1B-ADC5-478177F91CCC}" autoFormatId="16" applyNumberFormats="0" applyBorderFormats="0" applyFontFormats="0" applyPatternFormats="0" applyAlignmentFormats="0" applyWidthHeightFormats="0">
  <queryTableRefresh nextId="6">
    <queryTableFields count="5">
      <queryTableField id="1" name="Date" tableColumnId="1"/>
      <queryTableField id="2" name="Region" tableColumnId="2"/>
      <queryTableField id="3" name="Category" tableColumnId="3"/>
      <queryTableField id="4" name="Sales" tableColumnId="4"/>
      <queryTableField id="5" name="Profi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1919626-3BD3-4CF7-B9B2-6E7EF4687755}" autoFormatId="16" applyNumberFormats="0" applyBorderFormats="0" applyFontFormats="0" applyPatternFormats="0" applyAlignmentFormats="0" applyWidthHeightFormats="0">
  <queryTableRefresh nextId="4">
    <queryTableFields count="3">
      <queryTableField id="1" name="Product_ID" tableColumnId="1"/>
      <queryTableField id="2" name="Category" tableColumnId="2"/>
      <queryTableField id="3" name="Unit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20BAB5-69D7-4DB6-8233-E8BB72AFDD3F}" sourceName="Region">
  <pivotTables>
    <pivotTable tabId="2" name="PivotTable1"/>
  </pivotTables>
  <data>
    <tabular pivotCacheId="10725246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EFE471-7FFA-456B-BF4E-EB480E4F6914}"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D5B5E-0021-4E98-921F-5351FC72D020}" name="sales_data" displayName="sales_data" ref="A1:E16" tableType="queryTable" totalsRowShown="0">
  <autoFilter ref="A1:E16" xr:uid="{4F4D5B5E-0021-4E98-921F-5351FC72D020}"/>
  <tableColumns count="5">
    <tableColumn id="1" xr3:uid="{118387D1-BF53-4533-B926-92A09F08957A}" uniqueName="1" name="Date" queryTableFieldId="1" dataDxfId="2"/>
    <tableColumn id="2" xr3:uid="{06D7E545-EEFE-4E30-83F7-F07B79225CDD}" uniqueName="2" name="Region" queryTableFieldId="2" dataDxfId="1"/>
    <tableColumn id="3" xr3:uid="{47334EF7-5A7F-4A57-9030-B8EB907EE48B}" uniqueName="3" name="Category" queryTableFieldId="3" dataDxfId="0"/>
    <tableColumn id="4" xr3:uid="{98BACAA1-41E4-4E07-90D5-4B1CB90C0E5E}" uniqueName="4" name="Sales" queryTableFieldId="4"/>
    <tableColumn id="5" xr3:uid="{98521570-6748-4933-9503-AFAEFE906DC3}" uniqueName="5" name="Profit"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10491-2EB9-4A3D-BEA3-E7BF39E979C4}" name="product_data" displayName="product_data" ref="A1:C6" tableType="queryTable" totalsRowShown="0">
  <autoFilter ref="A1:C6" xr:uid="{DA510491-2EB9-4A3D-BEA3-E7BF39E979C4}"/>
  <tableColumns count="3">
    <tableColumn id="1" xr3:uid="{F9B5C46B-BE56-4AA6-AA30-E82453E895BC}" uniqueName="1" name="Product_ID" queryTableFieldId="1" dataDxfId="4"/>
    <tableColumn id="2" xr3:uid="{C5ADFCCB-B2C4-424E-94D4-ACEB0FF92454}" uniqueName="2" name="Category" queryTableFieldId="2" dataDxfId="3"/>
    <tableColumn id="3" xr3:uid="{717A83D2-F3DF-4932-ACA9-E2D355F8AF65}" uniqueName="3" name="Units"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23F8B8-0DEA-4683-A1E8-FFF3AB47216B}" name="Table1" displayName="Table1" ref="A1:G13" totalsRowShown="0">
  <autoFilter ref="A1:G13" xr:uid="{7623F8B8-0DEA-4683-A1E8-FFF3AB47216B}"/>
  <tableColumns count="7">
    <tableColumn id="1" xr3:uid="{66996069-96DE-41FB-A091-C725761F2E7D}" name="Region"/>
    <tableColumn id="2" xr3:uid="{B295A03B-0C30-47C3-9C12-6614FA09DAF3}" name="Product"/>
    <tableColumn id="3" xr3:uid="{6A2D049B-0167-4EF4-A7FE-4B0105B58FC1}" name="Quarter"/>
    <tableColumn id="4" xr3:uid="{77B776E2-F8E7-42BB-97AF-E1CE349BDD54}" name="Revenue "/>
    <tableColumn id="5" xr3:uid="{658880BE-87D3-439B-A8B0-F0B965536490}" name="Cost"/>
    <tableColumn id="6" xr3:uid="{9554DB6E-3714-4981-9728-5E7790F277DA}" name="Profit" dataDxfId="6">
      <calculatedColumnFormula>D2-E2</calculatedColumnFormula>
    </tableColumn>
    <tableColumn id="7" xr3:uid="{C96F8EF5-216A-4EFA-A945-7458E78BE345}" name="Margin %" dataDxfId="5">
      <calculatedColumnFormula>F2/D2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F61C-94A5-4E2A-ACD9-1CDBBA5537CC}">
  <dimension ref="A3:K20"/>
  <sheetViews>
    <sheetView topLeftCell="A16" workbookViewId="0">
      <selection activeCell="B6" sqref="B6"/>
    </sheetView>
  </sheetViews>
  <sheetFormatPr defaultRowHeight="14.4" x14ac:dyDescent="0.3"/>
  <cols>
    <col min="1" max="1" width="12.44140625" bestFit="1" customWidth="1"/>
    <col min="2" max="2" width="15.5546875" bestFit="1" customWidth="1"/>
    <col min="3" max="3" width="11.5546875" bestFit="1" customWidth="1"/>
    <col min="4" max="4" width="14.44140625" bestFit="1" customWidth="1"/>
    <col min="5" max="5" width="11.5546875" bestFit="1" customWidth="1"/>
    <col min="6" max="6" width="14.44140625" bestFit="1" customWidth="1"/>
    <col min="7" max="7" width="11.5546875" bestFit="1" customWidth="1"/>
    <col min="8" max="8" width="14.44140625" bestFit="1" customWidth="1"/>
    <col min="9" max="9" width="11.5546875" bestFit="1" customWidth="1"/>
    <col min="10" max="10" width="19" bestFit="1" customWidth="1"/>
    <col min="11" max="11" width="16.109375" bestFit="1" customWidth="1"/>
  </cols>
  <sheetData>
    <row r="3" spans="1:11" x14ac:dyDescent="0.3">
      <c r="B3" s="1" t="s">
        <v>20</v>
      </c>
    </row>
    <row r="4" spans="1:11" x14ac:dyDescent="0.3">
      <c r="B4" t="s">
        <v>12</v>
      </c>
      <c r="D4" t="s">
        <v>13</v>
      </c>
      <c r="F4" t="s">
        <v>14</v>
      </c>
      <c r="H4" t="s">
        <v>15</v>
      </c>
      <c r="J4" t="s">
        <v>22</v>
      </c>
      <c r="K4" t="s">
        <v>23</v>
      </c>
    </row>
    <row r="5" spans="1:11" x14ac:dyDescent="0.3">
      <c r="A5" s="1" t="s">
        <v>18</v>
      </c>
      <c r="B5" t="s">
        <v>21</v>
      </c>
      <c r="C5" t="s">
        <v>24</v>
      </c>
      <c r="D5" t="s">
        <v>21</v>
      </c>
      <c r="E5" t="s">
        <v>24</v>
      </c>
      <c r="F5" t="s">
        <v>21</v>
      </c>
      <c r="G5" t="s">
        <v>24</v>
      </c>
      <c r="H5" t="s">
        <v>21</v>
      </c>
      <c r="I5" t="s">
        <v>24</v>
      </c>
    </row>
    <row r="6" spans="1:11" x14ac:dyDescent="0.3">
      <c r="A6" s="2" t="s">
        <v>8</v>
      </c>
      <c r="B6">
        <v>85000</v>
      </c>
      <c r="C6">
        <v>30000</v>
      </c>
      <c r="D6">
        <v>80000</v>
      </c>
      <c r="E6">
        <v>28000</v>
      </c>
      <c r="H6">
        <v>65000</v>
      </c>
      <c r="I6">
        <v>25000</v>
      </c>
      <c r="J6">
        <v>230000</v>
      </c>
      <c r="K6">
        <v>83000</v>
      </c>
    </row>
    <row r="7" spans="1:11" x14ac:dyDescent="0.3">
      <c r="A7" s="3" t="s">
        <v>10</v>
      </c>
      <c r="B7">
        <v>85000</v>
      </c>
      <c r="C7">
        <v>30000</v>
      </c>
      <c r="D7">
        <v>80000</v>
      </c>
      <c r="E7">
        <v>28000</v>
      </c>
      <c r="J7">
        <v>165000</v>
      </c>
      <c r="K7">
        <v>58000</v>
      </c>
    </row>
    <row r="8" spans="1:11" x14ac:dyDescent="0.3">
      <c r="A8" s="3" t="s">
        <v>11</v>
      </c>
      <c r="H8">
        <v>65000</v>
      </c>
      <c r="I8">
        <v>25000</v>
      </c>
      <c r="J8">
        <v>65000</v>
      </c>
      <c r="K8">
        <v>25000</v>
      </c>
    </row>
    <row r="9" spans="1:11" x14ac:dyDescent="0.3">
      <c r="A9" s="2" t="s">
        <v>6</v>
      </c>
      <c r="B9">
        <v>150000</v>
      </c>
      <c r="C9">
        <v>52000</v>
      </c>
      <c r="F9">
        <v>180000</v>
      </c>
      <c r="G9">
        <v>55000</v>
      </c>
      <c r="J9">
        <v>330000</v>
      </c>
      <c r="K9">
        <v>107000</v>
      </c>
    </row>
    <row r="10" spans="1:11" x14ac:dyDescent="0.3">
      <c r="A10" s="3" t="s">
        <v>9</v>
      </c>
      <c r="F10">
        <v>180000</v>
      </c>
      <c r="G10">
        <v>55000</v>
      </c>
      <c r="J10">
        <v>180000</v>
      </c>
      <c r="K10">
        <v>55000</v>
      </c>
    </row>
    <row r="11" spans="1:11" x14ac:dyDescent="0.3">
      <c r="A11" s="3" t="s">
        <v>10</v>
      </c>
      <c r="B11">
        <v>90000</v>
      </c>
      <c r="C11">
        <v>30000</v>
      </c>
      <c r="J11">
        <v>90000</v>
      </c>
      <c r="K11">
        <v>30000</v>
      </c>
    </row>
    <row r="12" spans="1:11" x14ac:dyDescent="0.3">
      <c r="A12" s="3" t="s">
        <v>11</v>
      </c>
      <c r="B12">
        <v>60000</v>
      </c>
      <c r="C12">
        <v>22000</v>
      </c>
      <c r="J12">
        <v>60000</v>
      </c>
      <c r="K12">
        <v>22000</v>
      </c>
    </row>
    <row r="13" spans="1:11" x14ac:dyDescent="0.3">
      <c r="A13" s="2" t="s">
        <v>5</v>
      </c>
      <c r="B13">
        <v>120000</v>
      </c>
      <c r="C13">
        <v>35000</v>
      </c>
      <c r="F13">
        <v>70000</v>
      </c>
      <c r="G13">
        <v>25000</v>
      </c>
      <c r="H13">
        <v>95000</v>
      </c>
      <c r="I13">
        <v>33000</v>
      </c>
      <c r="J13">
        <v>285000</v>
      </c>
      <c r="K13">
        <v>93000</v>
      </c>
    </row>
    <row r="14" spans="1:11" x14ac:dyDescent="0.3">
      <c r="A14" s="3" t="s">
        <v>9</v>
      </c>
      <c r="B14">
        <v>120000</v>
      </c>
      <c r="C14">
        <v>35000</v>
      </c>
      <c r="J14">
        <v>120000</v>
      </c>
      <c r="K14">
        <v>35000</v>
      </c>
    </row>
    <row r="15" spans="1:11" x14ac:dyDescent="0.3">
      <c r="A15" s="3" t="s">
        <v>10</v>
      </c>
      <c r="H15">
        <v>95000</v>
      </c>
      <c r="I15">
        <v>33000</v>
      </c>
      <c r="J15">
        <v>95000</v>
      </c>
      <c r="K15">
        <v>33000</v>
      </c>
    </row>
    <row r="16" spans="1:11" x14ac:dyDescent="0.3">
      <c r="A16" s="3" t="s">
        <v>11</v>
      </c>
      <c r="F16">
        <v>70000</v>
      </c>
      <c r="G16">
        <v>25000</v>
      </c>
      <c r="J16">
        <v>70000</v>
      </c>
      <c r="K16">
        <v>25000</v>
      </c>
    </row>
    <row r="17" spans="1:11" x14ac:dyDescent="0.3">
      <c r="A17" s="2" t="s">
        <v>7</v>
      </c>
      <c r="D17">
        <v>150000</v>
      </c>
      <c r="E17">
        <v>45000</v>
      </c>
      <c r="F17">
        <v>140000</v>
      </c>
      <c r="G17">
        <v>42000</v>
      </c>
      <c r="H17">
        <v>110000</v>
      </c>
      <c r="I17">
        <v>38000</v>
      </c>
      <c r="J17">
        <v>400000</v>
      </c>
      <c r="K17">
        <v>125000</v>
      </c>
    </row>
    <row r="18" spans="1:11" x14ac:dyDescent="0.3">
      <c r="A18" s="3" t="s">
        <v>9</v>
      </c>
      <c r="D18">
        <v>150000</v>
      </c>
      <c r="E18">
        <v>45000</v>
      </c>
      <c r="F18">
        <v>140000</v>
      </c>
      <c r="G18">
        <v>42000</v>
      </c>
      <c r="J18">
        <v>290000</v>
      </c>
      <c r="K18">
        <v>87000</v>
      </c>
    </row>
    <row r="19" spans="1:11" x14ac:dyDescent="0.3">
      <c r="A19" s="3" t="s">
        <v>10</v>
      </c>
      <c r="H19">
        <v>110000</v>
      </c>
      <c r="I19">
        <v>38000</v>
      </c>
      <c r="J19">
        <v>110000</v>
      </c>
      <c r="K19">
        <v>38000</v>
      </c>
    </row>
    <row r="20" spans="1:11" x14ac:dyDescent="0.3">
      <c r="A20" s="2" t="s">
        <v>19</v>
      </c>
      <c r="B20">
        <v>355000</v>
      </c>
      <c r="C20">
        <v>117000</v>
      </c>
      <c r="D20">
        <v>230000</v>
      </c>
      <c r="E20">
        <v>73000</v>
      </c>
      <c r="F20">
        <v>390000</v>
      </c>
      <c r="G20">
        <v>122000</v>
      </c>
      <c r="H20">
        <v>270000</v>
      </c>
      <c r="I20">
        <v>96000</v>
      </c>
      <c r="J20">
        <v>1245000</v>
      </c>
      <c r="K20">
        <v>408000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DA09D-B908-49B9-A35E-AFF57E4A2803}">
  <dimension ref="A1:E16"/>
  <sheetViews>
    <sheetView tabSelected="1" workbookViewId="0"/>
  </sheetViews>
  <sheetFormatPr defaultRowHeight="14.4" x14ac:dyDescent="0.3"/>
  <cols>
    <col min="1" max="1" width="10.33203125" bestFit="1" customWidth="1"/>
    <col min="2" max="2" width="8.77734375" bestFit="1" customWidth="1"/>
    <col min="3" max="3" width="10.5546875" bestFit="1" customWidth="1"/>
    <col min="4" max="5" width="7.77734375" bestFit="1" customWidth="1"/>
  </cols>
  <sheetData>
    <row r="1" spans="1:5" x14ac:dyDescent="0.3">
      <c r="A1" t="s">
        <v>36</v>
      </c>
      <c r="B1" t="s">
        <v>0</v>
      </c>
      <c r="C1" t="s">
        <v>26</v>
      </c>
      <c r="D1" t="s">
        <v>37</v>
      </c>
      <c r="E1" t="s">
        <v>16</v>
      </c>
    </row>
    <row r="2" spans="1:5" x14ac:dyDescent="0.3">
      <c r="A2" s="5">
        <v>46027</v>
      </c>
      <c r="B2" s="4" t="s">
        <v>38</v>
      </c>
      <c r="C2" s="4" t="s">
        <v>33</v>
      </c>
      <c r="D2">
        <v>15000</v>
      </c>
      <c r="E2">
        <v>3000</v>
      </c>
    </row>
    <row r="3" spans="1:5" x14ac:dyDescent="0.3">
      <c r="A3" s="5">
        <v>46032</v>
      </c>
      <c r="B3" s="4" t="s">
        <v>6</v>
      </c>
      <c r="C3" s="4" t="s">
        <v>39</v>
      </c>
      <c r="D3">
        <v>12000</v>
      </c>
      <c r="E3">
        <v>2000</v>
      </c>
    </row>
    <row r="4" spans="1:5" x14ac:dyDescent="0.3">
      <c r="A4" s="5">
        <v>46037</v>
      </c>
      <c r="B4" s="4" t="s">
        <v>8</v>
      </c>
      <c r="C4" s="4" t="s">
        <v>40</v>
      </c>
      <c r="D4">
        <v>8000</v>
      </c>
      <c r="E4">
        <v>1500</v>
      </c>
    </row>
    <row r="5" spans="1:5" x14ac:dyDescent="0.3">
      <c r="A5" s="5">
        <v>46055</v>
      </c>
      <c r="B5" s="4" t="s">
        <v>7</v>
      </c>
      <c r="C5" s="4" t="s">
        <v>33</v>
      </c>
      <c r="D5">
        <v>20000</v>
      </c>
      <c r="E5">
        <v>4500</v>
      </c>
    </row>
    <row r="6" spans="1:5" x14ac:dyDescent="0.3">
      <c r="A6" s="5">
        <v>46061</v>
      </c>
      <c r="B6" s="4" t="s">
        <v>38</v>
      </c>
      <c r="C6" s="4" t="s">
        <v>39</v>
      </c>
      <c r="D6">
        <v>10000</v>
      </c>
      <c r="E6">
        <v>1800</v>
      </c>
    </row>
    <row r="7" spans="1:5" x14ac:dyDescent="0.3">
      <c r="A7" s="5">
        <v>46067</v>
      </c>
      <c r="B7" s="4" t="s">
        <v>6</v>
      </c>
      <c r="C7" s="4" t="s">
        <v>40</v>
      </c>
      <c r="D7">
        <v>9000</v>
      </c>
      <c r="E7">
        <v>1200</v>
      </c>
    </row>
    <row r="8" spans="1:5" x14ac:dyDescent="0.3">
      <c r="A8" s="5">
        <v>46084</v>
      </c>
      <c r="B8" s="4" t="s">
        <v>8</v>
      </c>
      <c r="C8" s="4" t="s">
        <v>33</v>
      </c>
      <c r="D8">
        <v>18000</v>
      </c>
      <c r="E8">
        <v>3500</v>
      </c>
    </row>
    <row r="9" spans="1:5" x14ac:dyDescent="0.3">
      <c r="A9" s="5">
        <v>46090</v>
      </c>
      <c r="B9" s="4" t="s">
        <v>7</v>
      </c>
      <c r="C9" s="4" t="s">
        <v>39</v>
      </c>
      <c r="D9">
        <v>14000</v>
      </c>
      <c r="E9">
        <v>2500</v>
      </c>
    </row>
    <row r="10" spans="1:5" x14ac:dyDescent="0.3">
      <c r="A10" s="5">
        <v>46096</v>
      </c>
      <c r="B10" s="4" t="s">
        <v>38</v>
      </c>
      <c r="C10" s="4" t="s">
        <v>40</v>
      </c>
      <c r="D10">
        <v>11000</v>
      </c>
      <c r="E10">
        <v>2200</v>
      </c>
    </row>
    <row r="11" spans="1:5" x14ac:dyDescent="0.3">
      <c r="A11" s="5">
        <v>46101</v>
      </c>
      <c r="B11" s="4" t="s">
        <v>6</v>
      </c>
      <c r="C11" s="4" t="s">
        <v>33</v>
      </c>
      <c r="D11">
        <v>22000</v>
      </c>
      <c r="E11">
        <v>5000</v>
      </c>
    </row>
    <row r="12" spans="1:5" x14ac:dyDescent="0.3">
      <c r="A12" s="5">
        <v>46113</v>
      </c>
      <c r="B12" s="4" t="s">
        <v>7</v>
      </c>
      <c r="C12" s="4" t="s">
        <v>40</v>
      </c>
      <c r="D12">
        <v>7000</v>
      </c>
      <c r="E12">
        <v>1000</v>
      </c>
    </row>
    <row r="13" spans="1:5" x14ac:dyDescent="0.3">
      <c r="A13" s="5">
        <v>46122</v>
      </c>
      <c r="B13" s="4" t="s">
        <v>8</v>
      </c>
      <c r="C13" s="4" t="s">
        <v>39</v>
      </c>
      <c r="D13">
        <v>16000</v>
      </c>
      <c r="E13">
        <v>3200</v>
      </c>
    </row>
    <row r="14" spans="1:5" x14ac:dyDescent="0.3">
      <c r="A14" s="5">
        <v>46127</v>
      </c>
      <c r="B14" s="4" t="s">
        <v>38</v>
      </c>
      <c r="C14" s="4" t="s">
        <v>33</v>
      </c>
      <c r="D14">
        <v>25000</v>
      </c>
      <c r="E14">
        <v>6000</v>
      </c>
    </row>
    <row r="15" spans="1:5" x14ac:dyDescent="0.3">
      <c r="A15" s="5">
        <v>46132</v>
      </c>
      <c r="B15" s="4" t="s">
        <v>6</v>
      </c>
      <c r="C15" s="4" t="s">
        <v>39</v>
      </c>
      <c r="D15">
        <v>13000</v>
      </c>
      <c r="E15">
        <v>2400</v>
      </c>
    </row>
    <row r="16" spans="1:5" x14ac:dyDescent="0.3">
      <c r="A16" s="5">
        <v>46137</v>
      </c>
      <c r="B16" s="4" t="s">
        <v>7</v>
      </c>
      <c r="C16" s="4" t="s">
        <v>33</v>
      </c>
      <c r="D16">
        <v>19000</v>
      </c>
      <c r="E16">
        <v>4000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FBBA-678E-4AB7-961F-C03A295DA2FB}">
  <dimension ref="A1:C6"/>
  <sheetViews>
    <sheetView workbookViewId="0"/>
  </sheetViews>
  <sheetFormatPr defaultRowHeight="14.4" x14ac:dyDescent="0.3"/>
  <cols>
    <col min="1" max="1" width="12.33203125" bestFit="1" customWidth="1"/>
    <col min="2" max="2" width="10.88671875" bestFit="1" customWidth="1"/>
    <col min="3" max="3" width="7.5546875" bestFit="1" customWidth="1"/>
  </cols>
  <sheetData>
    <row r="1" spans="1:3" x14ac:dyDescent="0.3">
      <c r="A1" t="s">
        <v>25</v>
      </c>
      <c r="B1" t="s">
        <v>26</v>
      </c>
      <c r="C1" t="s">
        <v>27</v>
      </c>
    </row>
    <row r="2" spans="1:3" x14ac:dyDescent="0.3">
      <c r="A2" s="4" t="s">
        <v>28</v>
      </c>
      <c r="B2" s="4" t="s">
        <v>33</v>
      </c>
      <c r="C2">
        <v>25</v>
      </c>
    </row>
    <row r="3" spans="1:3" x14ac:dyDescent="0.3">
      <c r="A3" s="4" t="s">
        <v>29</v>
      </c>
      <c r="B3" s="4" t="s">
        <v>34</v>
      </c>
      <c r="C3">
        <v>40</v>
      </c>
    </row>
    <row r="4" spans="1:3" x14ac:dyDescent="0.3">
      <c r="A4" s="4" t="s">
        <v>30</v>
      </c>
      <c r="B4" s="4" t="s">
        <v>33</v>
      </c>
      <c r="C4">
        <v>18</v>
      </c>
    </row>
    <row r="5" spans="1:3" x14ac:dyDescent="0.3">
      <c r="A5" s="4" t="s">
        <v>31</v>
      </c>
      <c r="B5" s="4" t="s">
        <v>35</v>
      </c>
      <c r="C5">
        <v>32</v>
      </c>
    </row>
    <row r="6" spans="1:3" x14ac:dyDescent="0.3">
      <c r="A6" s="4" t="s">
        <v>32</v>
      </c>
      <c r="B6" s="4" t="s">
        <v>34</v>
      </c>
      <c r="C6">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29B8-9A2B-47B6-943D-33625C968058}">
  <dimension ref="A1:G13"/>
  <sheetViews>
    <sheetView workbookViewId="0">
      <selection activeCell="J8" sqref="J8"/>
    </sheetView>
  </sheetViews>
  <sheetFormatPr defaultRowHeight="14.4" x14ac:dyDescent="0.3"/>
  <cols>
    <col min="1" max="1" width="8.88671875" customWidth="1"/>
    <col min="2" max="2" width="9.44140625" customWidth="1"/>
    <col min="3" max="3" width="9.21875" customWidth="1"/>
    <col min="4" max="4" width="10.21875" customWidth="1"/>
  </cols>
  <sheetData>
    <row r="1" spans="1:7" x14ac:dyDescent="0.3">
      <c r="A1" t="s">
        <v>0</v>
      </c>
      <c r="B1" t="s">
        <v>1</v>
      </c>
      <c r="C1" t="s">
        <v>2</v>
      </c>
      <c r="D1" t="s">
        <v>3</v>
      </c>
      <c r="E1" t="s">
        <v>4</v>
      </c>
      <c r="F1" t="s">
        <v>16</v>
      </c>
      <c r="G1" t="s">
        <v>17</v>
      </c>
    </row>
    <row r="2" spans="1:7" x14ac:dyDescent="0.3">
      <c r="A2" t="s">
        <v>5</v>
      </c>
      <c r="B2" t="s">
        <v>9</v>
      </c>
      <c r="C2" t="s">
        <v>12</v>
      </c>
      <c r="D2">
        <v>120000</v>
      </c>
      <c r="E2">
        <v>85000</v>
      </c>
      <c r="F2">
        <f t="shared" ref="F2:F13" si="0">D2-E2</f>
        <v>35000</v>
      </c>
      <c r="G2">
        <f t="shared" ref="G2:G13" si="1">F2/D2</f>
        <v>0.29166666666666669</v>
      </c>
    </row>
    <row r="3" spans="1:7" x14ac:dyDescent="0.3">
      <c r="A3" t="s">
        <v>6</v>
      </c>
      <c r="B3" t="s">
        <v>10</v>
      </c>
      <c r="C3" t="s">
        <v>12</v>
      </c>
      <c r="D3">
        <v>90000</v>
      </c>
      <c r="E3">
        <v>60000</v>
      </c>
      <c r="F3">
        <f t="shared" si="0"/>
        <v>30000</v>
      </c>
      <c r="G3">
        <f t="shared" si="1"/>
        <v>0.33333333333333331</v>
      </c>
    </row>
    <row r="4" spans="1:7" x14ac:dyDescent="0.3">
      <c r="A4" t="s">
        <v>7</v>
      </c>
      <c r="B4" t="s">
        <v>9</v>
      </c>
      <c r="C4" t="s">
        <v>13</v>
      </c>
      <c r="D4">
        <v>150000</v>
      </c>
      <c r="E4">
        <v>105000</v>
      </c>
      <c r="F4">
        <f t="shared" si="0"/>
        <v>45000</v>
      </c>
      <c r="G4">
        <f t="shared" si="1"/>
        <v>0.3</v>
      </c>
    </row>
    <row r="5" spans="1:7" x14ac:dyDescent="0.3">
      <c r="A5" t="s">
        <v>8</v>
      </c>
      <c r="B5" t="s">
        <v>10</v>
      </c>
      <c r="C5" t="s">
        <v>13</v>
      </c>
      <c r="D5">
        <v>80000</v>
      </c>
      <c r="E5">
        <v>52000</v>
      </c>
      <c r="F5">
        <f t="shared" si="0"/>
        <v>28000</v>
      </c>
      <c r="G5">
        <f t="shared" si="1"/>
        <v>0.35</v>
      </c>
    </row>
    <row r="6" spans="1:7" x14ac:dyDescent="0.3">
      <c r="A6" t="s">
        <v>5</v>
      </c>
      <c r="B6" t="s">
        <v>11</v>
      </c>
      <c r="C6" t="s">
        <v>14</v>
      </c>
      <c r="D6">
        <v>70000</v>
      </c>
      <c r="E6">
        <v>45000</v>
      </c>
      <c r="F6">
        <f t="shared" si="0"/>
        <v>25000</v>
      </c>
      <c r="G6">
        <f t="shared" si="1"/>
        <v>0.35714285714285715</v>
      </c>
    </row>
    <row r="7" spans="1:7" x14ac:dyDescent="0.3">
      <c r="A7" t="s">
        <v>6</v>
      </c>
      <c r="B7" t="s">
        <v>9</v>
      </c>
      <c r="C7" t="s">
        <v>14</v>
      </c>
      <c r="D7">
        <v>180000</v>
      </c>
      <c r="E7">
        <v>125000</v>
      </c>
      <c r="F7">
        <f t="shared" si="0"/>
        <v>55000</v>
      </c>
      <c r="G7">
        <f t="shared" si="1"/>
        <v>0.30555555555555558</v>
      </c>
    </row>
    <row r="8" spans="1:7" x14ac:dyDescent="0.3">
      <c r="A8" t="s">
        <v>7</v>
      </c>
      <c r="B8" t="s">
        <v>10</v>
      </c>
      <c r="C8" t="s">
        <v>15</v>
      </c>
      <c r="D8">
        <v>110000</v>
      </c>
      <c r="E8">
        <v>72000</v>
      </c>
      <c r="F8">
        <f t="shared" si="0"/>
        <v>38000</v>
      </c>
      <c r="G8">
        <f t="shared" si="1"/>
        <v>0.34545454545454546</v>
      </c>
    </row>
    <row r="9" spans="1:7" x14ac:dyDescent="0.3">
      <c r="A9" t="s">
        <v>8</v>
      </c>
      <c r="B9" t="s">
        <v>11</v>
      </c>
      <c r="C9" t="s">
        <v>15</v>
      </c>
      <c r="D9">
        <v>65000</v>
      </c>
      <c r="E9">
        <v>40000</v>
      </c>
      <c r="F9">
        <f t="shared" si="0"/>
        <v>25000</v>
      </c>
      <c r="G9">
        <f t="shared" si="1"/>
        <v>0.38461538461538464</v>
      </c>
    </row>
    <row r="10" spans="1:7" x14ac:dyDescent="0.3">
      <c r="A10" t="s">
        <v>5</v>
      </c>
      <c r="B10" t="s">
        <v>10</v>
      </c>
      <c r="C10" t="s">
        <v>15</v>
      </c>
      <c r="D10">
        <v>95000</v>
      </c>
      <c r="E10">
        <v>62000</v>
      </c>
      <c r="F10">
        <f t="shared" si="0"/>
        <v>33000</v>
      </c>
      <c r="G10">
        <f t="shared" si="1"/>
        <v>0.3473684210526316</v>
      </c>
    </row>
    <row r="11" spans="1:7" x14ac:dyDescent="0.3">
      <c r="A11" t="s">
        <v>6</v>
      </c>
      <c r="B11" t="s">
        <v>11</v>
      </c>
      <c r="C11" t="s">
        <v>12</v>
      </c>
      <c r="D11">
        <v>60000</v>
      </c>
      <c r="E11">
        <v>38000</v>
      </c>
      <c r="F11">
        <f t="shared" si="0"/>
        <v>22000</v>
      </c>
      <c r="G11">
        <f t="shared" si="1"/>
        <v>0.36666666666666664</v>
      </c>
    </row>
    <row r="12" spans="1:7" x14ac:dyDescent="0.3">
      <c r="A12" t="s">
        <v>7</v>
      </c>
      <c r="B12" t="s">
        <v>9</v>
      </c>
      <c r="C12" t="s">
        <v>14</v>
      </c>
      <c r="D12">
        <v>140000</v>
      </c>
      <c r="E12">
        <v>98000</v>
      </c>
      <c r="F12">
        <f t="shared" si="0"/>
        <v>42000</v>
      </c>
      <c r="G12">
        <f t="shared" si="1"/>
        <v>0.3</v>
      </c>
    </row>
    <row r="13" spans="1:7" x14ac:dyDescent="0.3">
      <c r="A13" t="s">
        <v>8</v>
      </c>
      <c r="B13" t="s">
        <v>10</v>
      </c>
      <c r="C13" t="s">
        <v>12</v>
      </c>
      <c r="D13">
        <v>85000</v>
      </c>
      <c r="E13">
        <v>55000</v>
      </c>
      <c r="F13">
        <f t="shared" si="0"/>
        <v>30000</v>
      </c>
      <c r="G13">
        <f t="shared" si="1"/>
        <v>0.35294117647058826</v>
      </c>
    </row>
  </sheetData>
  <conditionalFormatting sqref="G2:G13">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25ECC-E15B-4F2A-B206-4DA3D155EE5D}">
  <dimension ref="A1:C6"/>
  <sheetViews>
    <sheetView workbookViewId="0">
      <selection activeCell="A2" sqref="A2"/>
    </sheetView>
  </sheetViews>
  <sheetFormatPr defaultRowHeight="14.4" x14ac:dyDescent="0.3"/>
  <cols>
    <col min="1" max="1" width="10.77734375" customWidth="1"/>
    <col min="2" max="3" width="11.33203125" customWidth="1"/>
  </cols>
  <sheetData>
    <row r="1" spans="1:3" x14ac:dyDescent="0.3">
      <c r="A1" t="s">
        <v>25</v>
      </c>
      <c r="B1" t="s">
        <v>26</v>
      </c>
      <c r="C1" t="s">
        <v>27</v>
      </c>
    </row>
    <row r="2" spans="1:3" x14ac:dyDescent="0.3">
      <c r="A2" t="s">
        <v>28</v>
      </c>
      <c r="B2" t="s">
        <v>33</v>
      </c>
      <c r="C2">
        <v>25</v>
      </c>
    </row>
    <row r="3" spans="1:3" x14ac:dyDescent="0.3">
      <c r="A3" t="s">
        <v>29</v>
      </c>
      <c r="B3" t="s">
        <v>34</v>
      </c>
      <c r="C3">
        <v>40</v>
      </c>
    </row>
    <row r="4" spans="1:3" x14ac:dyDescent="0.3">
      <c r="A4" t="s">
        <v>30</v>
      </c>
      <c r="B4" t="s">
        <v>33</v>
      </c>
      <c r="C4">
        <v>18</v>
      </c>
    </row>
    <row r="5" spans="1:3" x14ac:dyDescent="0.3">
      <c r="A5" t="s">
        <v>31</v>
      </c>
      <c r="B5" t="s">
        <v>35</v>
      </c>
      <c r="C5">
        <v>32</v>
      </c>
    </row>
    <row r="6" spans="1:3" x14ac:dyDescent="0.3">
      <c r="A6" t="s">
        <v>32</v>
      </c>
      <c r="B6" t="s">
        <v>34</v>
      </c>
      <c r="C6">
        <v>15</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9C6B6C-3BBD-4B35-BCD6-6868D999AE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sales_data</vt:lpstr>
      <vt:lpstr>product_data</vt:lpstr>
      <vt:lpstr>SalesData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kumar M</dc:creator>
  <cp:lastModifiedBy>Praveen kumar M</cp:lastModifiedBy>
  <dcterms:created xsi:type="dcterms:W3CDTF">2026-10-21T04:25:07Z</dcterms:created>
  <dcterms:modified xsi:type="dcterms:W3CDTF">2026-10-21T07:48:17Z</dcterms:modified>
</cp:coreProperties>
</file>